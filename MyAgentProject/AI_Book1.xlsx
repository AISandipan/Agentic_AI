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bu\Desktop\Agentic_AI_Q\"/>
    </mc:Choice>
  </mc:AlternateContent>
  <xr:revisionPtr revIDLastSave="0" documentId="13_ncr:1_{7050ADE2-1775-4009-9021-6BFA1F8F611F}" xr6:coauthVersionLast="47" xr6:coauthVersionMax="47" xr10:uidLastSave="{00000000-0000-0000-0000-000000000000}"/>
  <bookViews>
    <workbookView xWindow="-108" yWindow="-108" windowWidth="23256" windowHeight="12456" xr2:uid="{86CAD1B4-C9A2-4A71-8F97-2307A7C163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2" l="1"/>
  <c r="E18" i="2"/>
  <c r="G17" i="2"/>
  <c r="G16" i="2"/>
  <c r="G15" i="2"/>
  <c r="G14" i="2"/>
  <c r="G13" i="2"/>
  <c r="K12" i="2"/>
  <c r="G12" i="2"/>
  <c r="G18" i="2" s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<sst xmlns="http://schemas.openxmlformats.org/spreadsheetml/2006/main" count="108" uniqueCount="62">
  <si>
    <t>Category</t>
  </si>
  <si>
    <t>Product</t>
  </si>
  <si>
    <t>SalePrice</t>
  </si>
  <si>
    <t>Discounted_Price</t>
  </si>
  <si>
    <t>Column1</t>
  </si>
  <si>
    <t>Aggregation</t>
  </si>
  <si>
    <t>Result</t>
  </si>
  <si>
    <t>Formula</t>
  </si>
  <si>
    <t>Clothing</t>
  </si>
  <si>
    <t>CiscoRack</t>
  </si>
  <si>
    <t>TotalSales</t>
  </si>
  <si>
    <t>Accessories</t>
  </si>
  <si>
    <t>Brakes</t>
  </si>
  <si>
    <t>AVERAGE Sales</t>
  </si>
  <si>
    <t>MAX Sales</t>
  </si>
  <si>
    <t>Bikes</t>
  </si>
  <si>
    <t>BikeRacks</t>
  </si>
  <si>
    <t>MIN</t>
  </si>
  <si>
    <t>COUNT</t>
  </si>
  <si>
    <t>Electronics</t>
  </si>
  <si>
    <t>Server</t>
  </si>
  <si>
    <t xml:space="preserve">COUNTA </t>
  </si>
  <si>
    <t>2ndHighSale</t>
  </si>
  <si>
    <t>Bib-Shorts</t>
  </si>
  <si>
    <t>2ndSMALL</t>
  </si>
  <si>
    <t>COUNTBLANK</t>
  </si>
  <si>
    <t>Jerseys</t>
  </si>
  <si>
    <t>Bottom Brackets</t>
  </si>
  <si>
    <t>Components</t>
  </si>
  <si>
    <t>Handlebars</t>
  </si>
  <si>
    <t>Syntax:</t>
  </si>
  <si>
    <t>=SUMIFS(sum_range,criteria_range,criteria,...)</t>
  </si>
  <si>
    <t>=MINIFS(sum_range,criteria_range,criteria,...)</t>
  </si>
  <si>
    <t>=MAXIFS(sum_range,criteria_range,criteria,...)</t>
  </si>
  <si>
    <t>=AVERAGEIFS(sum_range,criteria_range,criteria,...)</t>
  </si>
  <si>
    <t>=COUNTIFS(sum_range,criteria_range,criteria,...)</t>
  </si>
  <si>
    <t>Date</t>
  </si>
  <si>
    <t>Region</t>
  </si>
  <si>
    <t>Employee</t>
  </si>
  <si>
    <t>Units/ 2 hr</t>
  </si>
  <si>
    <t>$k / Unit/2 hr</t>
  </si>
  <si>
    <t>Total $k</t>
  </si>
  <si>
    <t>Location</t>
  </si>
  <si>
    <t>ShiftTime</t>
  </si>
  <si>
    <t>Central</t>
  </si>
  <si>
    <t>Doug</t>
  </si>
  <si>
    <t>DXB</t>
  </si>
  <si>
    <t>MORNING</t>
  </si>
  <si>
    <t>David</t>
  </si>
  <si>
    <t>NIGHT</t>
  </si>
  <si>
    <t>East</t>
  </si>
  <si>
    <t>Larry</t>
  </si>
  <si>
    <t>North</t>
  </si>
  <si>
    <t>Brian</t>
  </si>
  <si>
    <t>OMAN</t>
  </si>
  <si>
    <t>ABD</t>
  </si>
  <si>
    <t>Total</t>
  </si>
  <si>
    <t>SUMIFS</t>
  </si>
  <si>
    <t xml:space="preserve">Region: </t>
  </si>
  <si>
    <t>Employees</t>
  </si>
  <si>
    <t>Dave</t>
  </si>
  <si>
    <t>TOTAL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</si>
</sst>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0_-;\-* #,##0.00_-;_-* &quot;-&quot;??_-;_-@_-"/>
    <numFmt numFmtId="166" formatCode="_([$AED]\ * #,##0.00_);_([$AED]\ * \(#,##0.00\);_([$AED]\ * &quot;-&quot;??_);_(@_)"/>
    <numFmt numFmtId="167" formatCode="[$-409]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9" tint="-0.499984740745262"/>
      <name val="Segoe UI"/>
      <family val="2"/>
    </font>
    <font>
      <b/>
      <sz val="11"/>
      <color rgb="FF00206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rgb="FFFF0066"/>
      <name val="Calibri"/>
      <family val="2"/>
      <scheme val="minor"/>
    </font>
    <font>
      <sz val="10"/>
      <color theme="1"/>
      <name val="Courier New"/>
      <family val="3"/>
    </font>
    <font>
      <sz val="10"/>
      <name val="Arial"/>
      <family val="2"/>
    </font>
    <font>
      <sz val="11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0"/>
      <color rgb="FF7030A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F5511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3" fillId="0" borderId="0"/>
    <xf numFmtId="165" fontId="13" fillId="0" borderId="0" applyFont="0" applyFill="0" applyBorder="0" applyAlignment="0" applyProtection="0"/>
  </cellStyleXfs>
  <cellXfs count="47">
    <xf numFmtId="0" fontId="0" fillId="0" borderId="0" xfId="0"/>
    <xf numFmtId="0" fontId="5" fillId="4" borderId="0" xfId="0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1" fillId="4" borderId="1" xfId="4" applyNumberFormat="1" applyFill="1" applyBorder="1" applyAlignment="1">
      <alignment horizontal="right"/>
    </xf>
    <xf numFmtId="164" fontId="2" fillId="5" borderId="1" xfId="1" applyNumberFormat="1" applyFont="1" applyFill="1" applyBorder="1" applyAlignment="1">
      <alignment horizontal="left"/>
    </xf>
    <xf numFmtId="164" fontId="2" fillId="5" borderId="1" xfId="1" applyNumberFormat="1" applyFont="1" applyFill="1" applyBorder="1" applyAlignment="1">
      <alignment horizontal="center"/>
    </xf>
    <xf numFmtId="0" fontId="3" fillId="0" borderId="2" xfId="3" applyFont="1" applyFill="1" applyBorder="1"/>
    <xf numFmtId="166" fontId="3" fillId="0" borderId="2" xfId="2" applyNumberFormat="1" applyFont="1" applyFill="1" applyBorder="1"/>
    <xf numFmtId="166" fontId="0" fillId="0" borderId="0" xfId="2" applyNumberFormat="1" applyFont="1" applyFill="1" applyBorder="1"/>
    <xf numFmtId="0" fontId="6" fillId="0" borderId="0" xfId="0" applyFont="1"/>
    <xf numFmtId="166" fontId="7" fillId="0" borderId="0" xfId="0" applyNumberFormat="1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3" fillId="0" borderId="2" xfId="0" applyFont="1" applyBorder="1"/>
    <xf numFmtId="0" fontId="5" fillId="0" borderId="2" xfId="0" applyFont="1" applyBorder="1"/>
    <xf numFmtId="0" fontId="10" fillId="0" borderId="0" xfId="0" applyFont="1"/>
    <xf numFmtId="0" fontId="11" fillId="0" borderId="2" xfId="0" applyFont="1" applyBorder="1"/>
    <xf numFmtId="0" fontId="3" fillId="6" borderId="0" xfId="0" applyFont="1" applyFill="1" applyAlignment="1">
      <alignment horizontal="right" vertical="center"/>
    </xf>
    <xf numFmtId="0" fontId="12" fillId="6" borderId="0" xfId="0" quotePrefix="1" applyFont="1" applyFill="1" applyAlignment="1">
      <alignment vertical="center"/>
    </xf>
    <xf numFmtId="0" fontId="10" fillId="6" borderId="0" xfId="0" applyFont="1" applyFill="1"/>
    <xf numFmtId="0" fontId="14" fillId="6" borderId="0" xfId="5" applyFont="1" applyFill="1"/>
    <xf numFmtId="0" fontId="14" fillId="0" borderId="0" xfId="5" applyFont="1"/>
    <xf numFmtId="167" fontId="15" fillId="7" borderId="3" xfId="5" applyNumberFormat="1" applyFont="1" applyFill="1" applyBorder="1" applyAlignment="1">
      <alignment horizontal="center" vertical="center"/>
    </xf>
    <xf numFmtId="0" fontId="15" fillId="7" borderId="3" xfId="5" applyFont="1" applyFill="1" applyBorder="1" applyAlignment="1">
      <alignment horizontal="left" vertical="center"/>
    </xf>
    <xf numFmtId="0" fontId="15" fillId="7" borderId="3" xfId="5" applyFont="1" applyFill="1" applyBorder="1" applyAlignment="1">
      <alignment horizontal="center" vertical="center"/>
    </xf>
    <xf numFmtId="167" fontId="16" fillId="0" borderId="0" xfId="5" applyNumberFormat="1" applyFont="1" applyAlignment="1">
      <alignment horizontal="center"/>
    </xf>
    <xf numFmtId="0" fontId="16" fillId="0" borderId="0" xfId="5" applyFont="1"/>
    <xf numFmtId="0" fontId="13" fillId="0" borderId="0" xfId="5"/>
    <xf numFmtId="44" fontId="13" fillId="0" borderId="0" xfId="2" applyFont="1"/>
    <xf numFmtId="0" fontId="17" fillId="0" borderId="0" xfId="5" applyFont="1"/>
    <xf numFmtId="164" fontId="13" fillId="0" borderId="0" xfId="6" applyNumberFormat="1" applyFont="1"/>
    <xf numFmtId="167" fontId="13" fillId="0" borderId="0" xfId="5" applyNumberFormat="1" applyAlignment="1">
      <alignment horizontal="center"/>
    </xf>
    <xf numFmtId="0" fontId="16" fillId="0" borderId="4" xfId="5" applyFont="1" applyBorder="1"/>
    <xf numFmtId="164" fontId="16" fillId="0" borderId="4" xfId="6" applyNumberFormat="1" applyFont="1" applyBorder="1"/>
    <xf numFmtId="44" fontId="16" fillId="0" borderId="4" xfId="2" applyFont="1" applyBorder="1"/>
    <xf numFmtId="0" fontId="18" fillId="0" borderId="0" xfId="5" applyFont="1"/>
    <xf numFmtId="167" fontId="19" fillId="7" borderId="3" xfId="5" applyNumberFormat="1" applyFont="1" applyFill="1" applyBorder="1" applyAlignment="1">
      <alignment horizontal="center" vertical="center"/>
    </xf>
    <xf numFmtId="167" fontId="19" fillId="7" borderId="3" xfId="5" applyNumberFormat="1" applyFont="1" applyFill="1" applyBorder="1" applyAlignment="1">
      <alignment horizontal="right" vertical="center"/>
    </xf>
    <xf numFmtId="167" fontId="19" fillId="7" borderId="3" xfId="5" applyNumberFormat="1" applyFont="1" applyFill="1" applyBorder="1" applyAlignment="1">
      <alignment horizontal="left" vertical="center"/>
    </xf>
    <xf numFmtId="0" fontId="20" fillId="8" borderId="0" xfId="5" applyFont="1" applyFill="1"/>
    <xf numFmtId="0" fontId="14" fillId="8" borderId="0" xfId="5" applyFont="1" applyFill="1"/>
    <xf numFmtId="0" fontId="10" fillId="8" borderId="0" xfId="0" applyFont="1" applyFill="1"/>
    <xf numFmtId="0" fontId="21" fillId="0" borderId="0" xfId="5" applyFont="1"/>
    <xf numFmtId="44" fontId="22" fillId="0" borderId="0" xfId="2" applyFont="1"/>
    <xf numFmtId="164" fontId="23" fillId="0" borderId="0" xfId="6" applyNumberFormat="1" applyFont="1"/>
    <xf numFmtId="44" fontId="23" fillId="0" borderId="0" xfId="2" applyFont="1"/>
  </cellXfs>
  <cellStyles count="7">
    <cellStyle name="60% - Accent5" xfId="4" builtinId="48"/>
    <cellStyle name="Accent1" xfId="3" builtinId="29"/>
    <cellStyle name="Comma" xfId="1" builtinId="3"/>
    <cellStyle name="Comma 2" xfId="6" xr:uid="{EB004436-FF28-4541-BE89-F23E577F30F1}"/>
    <cellStyle name="Currency" xfId="2" builtinId="4"/>
    <cellStyle name="Normal" xfId="0" builtinId="0"/>
    <cellStyle name="Normal 2" xfId="5" xr:uid="{D85678DC-D896-4C93-B61E-2663AC938940}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rgb="FFFF6699"/>
        </patternFill>
      </fill>
    </dxf>
    <dxf>
      <fill>
        <patternFill>
          <bgColor rgb="FFCC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33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66"/>
      </font>
      <fill>
        <patternFill>
          <bgColor rgb="FF66FF99"/>
        </patternFill>
      </fill>
    </dxf>
    <dxf>
      <font>
        <b/>
        <i val="0"/>
        <color rgb="FF0000FF"/>
      </font>
      <fill>
        <patternFill>
          <bgColor theme="0"/>
        </patternFill>
      </fill>
    </dxf>
    <dxf>
      <font>
        <b/>
        <i val="0"/>
        <color rgb="FFCC00FF"/>
      </font>
      <fill>
        <patternFill>
          <bgColor rgb="FF66FF99"/>
        </patternFill>
      </fill>
    </dxf>
    <dxf>
      <font>
        <b/>
        <i val="0"/>
        <color rgb="FFFF0066"/>
      </font>
      <fill>
        <patternFill>
          <bgColor rgb="FF00FFCC"/>
        </patternFill>
      </fill>
    </dxf>
    <dxf>
      <font>
        <b/>
        <i val="0"/>
        <color rgb="FF0000FF"/>
      </font>
      <fill>
        <patternFill>
          <bgColor rgb="FF66FF6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[$AED]\ * #,##0.00_);_([$AED]\ * \(#,##0.00\);_([$AED]\ 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[$AED]\ * #,##0.00_);_([$AED]\ * \(#,##0.00\);_([$AED]\ 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[$AED]\ * #,##0.00_);_([$AED]\ * \(#,##0.00\);_([$AED]\ 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DC4BB-4C59-4611-8D1C-11858611A330}" name="Table22" displayName="Table22" ref="A1:E15" totalsRowShown="0" headerRowDxfId="31" tableBorderDxfId="30">
  <tableColumns count="5">
    <tableColumn id="1" xr3:uid="{A88E09CC-C4FA-4DDE-8F44-D795B80BFCD1}" name="Category" dataDxfId="29"/>
    <tableColumn id="2" xr3:uid="{759149FB-0D07-4442-8BC2-21A3E7E99986}" name="Product" dataDxfId="28"/>
    <tableColumn id="3" xr3:uid="{5B6FE844-AC75-491C-A4B1-BAC581964638}" name="SalePrice" dataDxfId="27" dataCellStyle="Currency"/>
    <tableColumn id="5" xr3:uid="{093282E8-0716-48CC-AA49-F91AB1A68CB4}" name="Discounted_Price" dataDxfId="26" dataCellStyle="Currency">
      <calculatedColumnFormula>C2*4%</calculatedColumnFormula>
    </tableColumn>
    <tableColumn id="4" xr3:uid="{DC6F34DB-8696-477C-9296-F637C0B1FB34}" name="Column1" dataDxfId="25" dataCellStyle="Currenc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C1F756-C418-49A8-932F-7525136A493C}">
  <we:reference id="WA200006009" version="2.0.1.10" store="Omex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0BD5-3D0E-4C27-9467-2D1B1EB72EB6}">
  <dimension ref="A1:I15"/>
  <sheetViews>
    <sheetView tabSelected="1" workbookViewId="0">
      <selection activeCell="G2" sqref="G2:I15"/>
    </sheetView>
  </sheetViews>
  <sheetFormatPr defaultRowHeight="14.4" x14ac:dyDescent="0.3"/>
  <cols>
    <col min="1" max="6" width="16.6640625" customWidth="1"/>
    <col min="7" max="8" width="28.6640625" customWidth="1"/>
    <col min="9" max="9" width="28.33203125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7</v>
      </c>
    </row>
    <row r="2" spans="1:9" ht="16.8" x14ac:dyDescent="0.4">
      <c r="A2" s="6" t="s">
        <v>8</v>
      </c>
      <c r="B2" s="6" t="s">
        <v>9</v>
      </c>
      <c r="C2" s="7">
        <v>93000</v>
      </c>
      <c r="D2" s="8">
        <f t="shared" ref="D2:D15" si="0">C2*4%</f>
        <v>3720</v>
      </c>
      <c r="E2" s="7">
        <v>93000</v>
      </c>
      <c r="F2" s="9" t="s">
        <v>10</v>
      </c>
      <c r="G2" s="10"/>
      <c r="H2" s="11"/>
      <c r="I2" s="12"/>
    </row>
    <row r="3" spans="1:9" ht="16.8" x14ac:dyDescent="0.4">
      <c r="A3" s="6" t="s">
        <v>11</v>
      </c>
      <c r="B3" s="6" t="s">
        <v>12</v>
      </c>
      <c r="C3" s="7">
        <v>36400</v>
      </c>
      <c r="D3" s="8">
        <f t="shared" si="0"/>
        <v>1456</v>
      </c>
      <c r="E3" s="7">
        <v>36400</v>
      </c>
      <c r="F3" s="9" t="s">
        <v>13</v>
      </c>
      <c r="G3" s="10"/>
      <c r="H3" s="11"/>
      <c r="I3" s="12"/>
    </row>
    <row r="4" spans="1:9" ht="16.8" x14ac:dyDescent="0.4">
      <c r="A4" s="6" t="s">
        <v>11</v>
      </c>
      <c r="B4" s="6" t="s">
        <v>12</v>
      </c>
      <c r="C4" s="7">
        <v>37600</v>
      </c>
      <c r="D4" s="8">
        <f t="shared" si="0"/>
        <v>1504</v>
      </c>
      <c r="E4" s="7">
        <v>37600</v>
      </c>
      <c r="F4" s="9" t="s">
        <v>14</v>
      </c>
      <c r="G4" s="10"/>
      <c r="H4" s="11"/>
      <c r="I4" s="12"/>
    </row>
    <row r="5" spans="1:9" ht="16.8" x14ac:dyDescent="0.4">
      <c r="A5" s="6" t="s">
        <v>15</v>
      </c>
      <c r="B5" s="6" t="s">
        <v>16</v>
      </c>
      <c r="C5" s="7">
        <v>38800</v>
      </c>
      <c r="D5" s="8">
        <f t="shared" si="0"/>
        <v>1552</v>
      </c>
      <c r="E5" s="7">
        <v>38800</v>
      </c>
      <c r="F5" s="9" t="s">
        <v>17</v>
      </c>
      <c r="G5" s="10"/>
      <c r="H5" s="11"/>
      <c r="I5" s="12"/>
    </row>
    <row r="6" spans="1:9" ht="16.8" x14ac:dyDescent="0.4">
      <c r="A6" s="6" t="s">
        <v>15</v>
      </c>
      <c r="B6" s="6" t="s">
        <v>16</v>
      </c>
      <c r="C6" s="7">
        <v>40000</v>
      </c>
      <c r="D6" s="8">
        <f t="shared" si="0"/>
        <v>1600</v>
      </c>
      <c r="E6" s="7">
        <v>40000</v>
      </c>
      <c r="F6" s="9" t="s">
        <v>18</v>
      </c>
      <c r="G6" s="13"/>
      <c r="H6" s="11"/>
      <c r="I6" s="12"/>
    </row>
    <row r="7" spans="1:9" ht="16.8" x14ac:dyDescent="0.4">
      <c r="A7" s="6" t="s">
        <v>19</v>
      </c>
      <c r="B7" s="6" t="s">
        <v>20</v>
      </c>
      <c r="C7" s="7">
        <v>41200</v>
      </c>
      <c r="D7" s="8">
        <f t="shared" si="0"/>
        <v>1648</v>
      </c>
      <c r="E7" s="7">
        <v>41200</v>
      </c>
      <c r="F7" s="13" t="s">
        <v>21</v>
      </c>
      <c r="G7" s="13"/>
      <c r="H7" s="11"/>
      <c r="I7" s="12"/>
    </row>
    <row r="8" spans="1:9" ht="16.8" x14ac:dyDescent="0.4">
      <c r="A8" s="6" t="s">
        <v>19</v>
      </c>
      <c r="B8" s="14" t="s">
        <v>16</v>
      </c>
      <c r="C8" s="7">
        <v>42400</v>
      </c>
      <c r="D8" s="8">
        <f t="shared" si="0"/>
        <v>1696</v>
      </c>
      <c r="E8" s="7">
        <v>42400</v>
      </c>
      <c r="F8" s="13" t="s">
        <v>22</v>
      </c>
      <c r="G8" s="10"/>
      <c r="H8" s="11"/>
      <c r="I8" s="12"/>
    </row>
    <row r="9" spans="1:9" ht="16.8" x14ac:dyDescent="0.4">
      <c r="A9" s="6" t="s">
        <v>8</v>
      </c>
      <c r="B9" s="14" t="s">
        <v>23</v>
      </c>
      <c r="C9" s="7">
        <v>43600</v>
      </c>
      <c r="D9" s="8">
        <f t="shared" si="0"/>
        <v>1744</v>
      </c>
      <c r="E9" s="7">
        <v>43600</v>
      </c>
      <c r="F9" s="13" t="s">
        <v>24</v>
      </c>
      <c r="G9" s="10"/>
      <c r="H9" s="11"/>
      <c r="I9" s="12"/>
    </row>
    <row r="10" spans="1:9" ht="16.8" x14ac:dyDescent="0.4">
      <c r="A10" s="15" t="s">
        <v>8</v>
      </c>
      <c r="B10" s="14" t="s">
        <v>9</v>
      </c>
      <c r="C10" s="7">
        <v>44800</v>
      </c>
      <c r="D10" s="8">
        <f t="shared" si="0"/>
        <v>1792</v>
      </c>
      <c r="E10" s="7">
        <v>44800</v>
      </c>
      <c r="F10" s="13" t="s">
        <v>25</v>
      </c>
      <c r="G10" s="13"/>
      <c r="H10" s="11"/>
      <c r="I10" s="12"/>
    </row>
    <row r="11" spans="1:9" ht="16.8" x14ac:dyDescent="0.4">
      <c r="A11" s="15" t="s">
        <v>8</v>
      </c>
      <c r="B11" s="14" t="s">
        <v>26</v>
      </c>
      <c r="C11" s="7">
        <v>7500</v>
      </c>
      <c r="D11" s="8">
        <f t="shared" si="0"/>
        <v>300</v>
      </c>
      <c r="E11" s="7">
        <v>7500</v>
      </c>
      <c r="F11" s="16"/>
      <c r="G11" s="16"/>
      <c r="H11" s="16"/>
      <c r="I11" s="16"/>
    </row>
    <row r="12" spans="1:9" ht="16.8" x14ac:dyDescent="0.4">
      <c r="A12" s="15" t="s">
        <v>11</v>
      </c>
      <c r="B12" s="14" t="s">
        <v>27</v>
      </c>
      <c r="C12" s="7">
        <v>17500</v>
      </c>
      <c r="D12" s="8">
        <f t="shared" si="0"/>
        <v>700</v>
      </c>
      <c r="E12" s="7">
        <v>17500</v>
      </c>
      <c r="F12" s="16"/>
      <c r="G12" s="16"/>
      <c r="H12" s="16"/>
      <c r="I12" s="16"/>
    </row>
    <row r="13" spans="1:9" ht="16.8" x14ac:dyDescent="0.4">
      <c r="A13" s="15" t="s">
        <v>11</v>
      </c>
      <c r="B13" s="17" t="s">
        <v>12</v>
      </c>
      <c r="C13" s="7">
        <v>8500</v>
      </c>
      <c r="D13" s="8">
        <f t="shared" si="0"/>
        <v>340</v>
      </c>
      <c r="E13" s="7">
        <v>8500</v>
      </c>
      <c r="F13" s="16"/>
      <c r="G13" s="16"/>
      <c r="H13" s="16"/>
      <c r="I13" s="16"/>
    </row>
    <row r="14" spans="1:9" ht="16.8" x14ac:dyDescent="0.4">
      <c r="A14" s="15" t="s">
        <v>28</v>
      </c>
      <c r="B14" s="17" t="s">
        <v>12</v>
      </c>
      <c r="C14" s="7">
        <v>56000</v>
      </c>
      <c r="D14" s="8">
        <f t="shared" si="0"/>
        <v>2240</v>
      </c>
      <c r="E14" s="7">
        <v>56000</v>
      </c>
      <c r="F14" s="16"/>
      <c r="G14" s="16"/>
      <c r="H14" s="16"/>
      <c r="I14" s="16"/>
    </row>
    <row r="15" spans="1:9" ht="16.8" x14ac:dyDescent="0.4">
      <c r="A15" s="15" t="s">
        <v>28</v>
      </c>
      <c r="B15" s="14" t="s">
        <v>29</v>
      </c>
      <c r="C15" s="7">
        <v>8100</v>
      </c>
      <c r="D15" s="8">
        <f t="shared" si="0"/>
        <v>324</v>
      </c>
      <c r="E15" s="7">
        <v>8100</v>
      </c>
      <c r="F15" s="16"/>
      <c r="G15" s="16"/>
      <c r="H15" s="16"/>
      <c r="I15" s="16"/>
    </row>
  </sheetData>
  <conditionalFormatting sqref="A2:A15">
    <cfRule type="containsText" dxfId="24" priority="11" operator="containsText" text="Bikes">
      <formula>NOT(ISERROR(SEARCH("Bikes",A2)))</formula>
    </cfRule>
    <cfRule type="containsText" dxfId="23" priority="12" operator="containsText" text="Clothing">
      <formula>NOT(ISERROR(SEARCH("Clothing",A2)))</formula>
    </cfRule>
  </conditionalFormatting>
  <conditionalFormatting sqref="B1">
    <cfRule type="containsText" dxfId="22" priority="15" operator="containsText" text="Brakes">
      <formula>NOT(ISERROR(SEARCH("Brakes",B1)))</formula>
    </cfRule>
  </conditionalFormatting>
  <conditionalFormatting sqref="B2:B15">
    <cfRule type="containsText" dxfId="21" priority="6" operator="containsText" text="BikeRacks">
      <formula>NOT(ISERROR(SEARCH("BikeRacks",B2)))</formula>
    </cfRule>
    <cfRule type="containsText" dxfId="20" priority="14" operator="containsText" text="Bike">
      <formula>NOT(ISERROR(SEARCH("Bike",B2)))</formula>
    </cfRule>
  </conditionalFormatting>
  <conditionalFormatting sqref="C1">
    <cfRule type="top10" dxfId="19" priority="16" rank="3"/>
  </conditionalFormatting>
  <conditionalFormatting sqref="C2:C15">
    <cfRule type="cellIs" dxfId="18" priority="3" operator="lessThan">
      <formula>12000</formula>
    </cfRule>
    <cfRule type="cellIs" dxfId="17" priority="4" operator="greaterThan">
      <formula>40000</formula>
    </cfRule>
    <cfRule type="cellIs" dxfId="16" priority="5" operator="lessThan">
      <formula>19000</formula>
    </cfRule>
    <cfRule type="iconSet" priority="7">
      <iconSet iconSet="3Arrows">
        <cfvo type="percent" val="0"/>
        <cfvo type="num" val="39000"/>
        <cfvo type="num" val="50000"/>
      </iconSet>
    </cfRule>
    <cfRule type="cellIs" dxfId="15" priority="8" operator="between">
      <formula>28000</formula>
      <formula>45000</formula>
    </cfRule>
    <cfRule type="cellIs" dxfId="14" priority="9" operator="greaterThan">
      <formula>45000</formula>
    </cfRule>
    <cfRule type="cellIs" dxfId="13" priority="10" operator="lessThan">
      <formula>30000</formula>
    </cfRule>
  </conditionalFormatting>
  <conditionalFormatting sqref="D2:D15">
    <cfRule type="top10" dxfId="12" priority="17" rank="3"/>
    <cfRule type="iconSet" priority="18">
      <iconSet iconSet="3Arrows">
        <cfvo type="percent" val="0"/>
        <cfvo type="num" val="16000"/>
        <cfvo type="num" val="45000"/>
      </iconSet>
    </cfRule>
    <cfRule type="top10" dxfId="11" priority="19" rank="4"/>
    <cfRule type="top10" dxfId="10" priority="20" rank="4"/>
    <cfRule type="top10" dxfId="9" priority="21" rank="3"/>
    <cfRule type="top10" dxfId="8" priority="22" rank="3"/>
  </conditionalFormatting>
  <conditionalFormatting sqref="E2:E15">
    <cfRule type="cellIs" dxfId="7" priority="1" operator="greaterThan">
      <formula>32000</formula>
    </cfRule>
    <cfRule type="cellIs" dxfId="6" priority="2" operator="lessThan">
      <formula>10000</formula>
    </cfRule>
  </conditionalFormatting>
  <conditionalFormatting sqref="G2:G10">
    <cfRule type="iconSet" priority="13">
      <iconSet iconSet="3Arrows">
        <cfvo type="percent" val="0"/>
        <cfvo type="num" val="30000"/>
        <cfvo type="num" val="56000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0F30-7F8C-4DC1-9B66-BC20900124E0}">
  <dimension ref="A4:S27"/>
  <sheetViews>
    <sheetView workbookViewId="0">
      <selection activeCell="D4" sqref="D4"/>
    </sheetView>
  </sheetViews>
  <sheetFormatPr defaultRowHeight="14.4" x14ac:dyDescent="0.3"/>
  <cols>
    <col min="2" max="2" width="11.88671875" customWidth="1"/>
    <col min="6" max="6" width="12.109375" customWidth="1"/>
    <col min="7" max="7" width="18.5546875" customWidth="1"/>
    <col min="9" max="9" width="14" customWidth="1"/>
    <col min="10" max="10" width="13" customWidth="1"/>
    <col min="11" max="11" width="14.5546875" customWidth="1"/>
  </cols>
  <sheetData>
    <row r="4" spans="1:19" ht="16.8" x14ac:dyDescent="0.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ht="16.8" x14ac:dyDescent="0.4">
      <c r="A5" s="16"/>
      <c r="B5" s="18" t="s">
        <v>30</v>
      </c>
      <c r="C5" s="19" t="s">
        <v>31</v>
      </c>
      <c r="D5" s="20"/>
      <c r="E5" s="20"/>
      <c r="F5" s="20"/>
      <c r="G5" s="2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ht="16.8" x14ac:dyDescent="0.4">
      <c r="A6" s="16"/>
      <c r="B6" s="18" t="s">
        <v>30</v>
      </c>
      <c r="C6" s="19" t="s">
        <v>32</v>
      </c>
      <c r="D6" s="21"/>
      <c r="E6" s="21"/>
      <c r="F6" s="21"/>
      <c r="G6" s="21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ht="16.8" x14ac:dyDescent="0.4">
      <c r="A7" s="16"/>
      <c r="B7" s="18" t="s">
        <v>30</v>
      </c>
      <c r="C7" s="19" t="s">
        <v>33</v>
      </c>
      <c r="D7" s="21"/>
      <c r="E7" s="21"/>
      <c r="F7" s="21"/>
      <c r="G7" s="21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 ht="16.8" x14ac:dyDescent="0.4">
      <c r="A8" s="16"/>
      <c r="B8" s="18" t="s">
        <v>30</v>
      </c>
      <c r="C8" s="19" t="s">
        <v>34</v>
      </c>
      <c r="D8" s="21"/>
      <c r="E8" s="21"/>
      <c r="F8" s="21"/>
      <c r="G8" s="21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 ht="16.8" x14ac:dyDescent="0.4">
      <c r="A9" s="16"/>
      <c r="B9" s="18" t="s">
        <v>30</v>
      </c>
      <c r="C9" s="19" t="s">
        <v>35</v>
      </c>
      <c r="D9" s="21"/>
      <c r="E9" s="21"/>
      <c r="F9" s="21"/>
      <c r="G9" s="21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6.8" x14ac:dyDescent="0.4">
      <c r="A10" s="16"/>
      <c r="B10" s="16"/>
      <c r="C10" s="16"/>
      <c r="D10" s="16"/>
      <c r="E10" s="16"/>
      <c r="F10" s="16"/>
      <c r="G10" s="16"/>
      <c r="H10" s="22"/>
      <c r="I10" s="16"/>
      <c r="Q10" s="16"/>
      <c r="R10" s="16"/>
      <c r="S10" s="16"/>
    </row>
    <row r="11" spans="1:19" ht="16.8" x14ac:dyDescent="0.4">
      <c r="A11" s="16"/>
      <c r="B11" s="23" t="s">
        <v>36</v>
      </c>
      <c r="C11" s="24" t="s">
        <v>37</v>
      </c>
      <c r="D11" s="24" t="s">
        <v>38</v>
      </c>
      <c r="E11" s="25" t="s">
        <v>39</v>
      </c>
      <c r="F11" s="25" t="s">
        <v>40</v>
      </c>
      <c r="G11" s="25" t="s">
        <v>41</v>
      </c>
      <c r="H11" s="25" t="s">
        <v>42</v>
      </c>
      <c r="I11" s="25" t="s">
        <v>43</v>
      </c>
      <c r="Q11" s="16"/>
      <c r="R11" s="16"/>
      <c r="S11" s="16"/>
    </row>
    <row r="12" spans="1:19" ht="16.8" x14ac:dyDescent="0.4">
      <c r="A12" s="16"/>
      <c r="B12" s="26">
        <v>44932</v>
      </c>
      <c r="C12" s="27" t="s">
        <v>44</v>
      </c>
      <c r="D12" s="27" t="s">
        <v>45</v>
      </c>
      <c r="E12" s="28">
        <v>34</v>
      </c>
      <c r="F12" s="29">
        <v>389</v>
      </c>
      <c r="G12" s="29">
        <f>F12*E12</f>
        <v>13226</v>
      </c>
      <c r="H12" s="30" t="s">
        <v>46</v>
      </c>
      <c r="I12" s="30" t="s">
        <v>47</v>
      </c>
      <c r="J12" s="16" t="s">
        <v>48</v>
      </c>
      <c r="K12" s="16">
        <f>SUMIFS($G$10:$G$15,$C$10:$C$15,$E$19,$D$10:$D$15,J12)</f>
        <v>0</v>
      </c>
      <c r="L12" s="16"/>
      <c r="M12" s="16"/>
      <c r="N12" s="16"/>
      <c r="O12" s="16"/>
      <c r="P12" s="16"/>
      <c r="Q12" s="16"/>
      <c r="R12" s="16"/>
      <c r="S12" s="16"/>
    </row>
    <row r="13" spans="1:19" ht="16.8" x14ac:dyDescent="0.4">
      <c r="A13" s="16"/>
      <c r="B13" s="26">
        <v>44966</v>
      </c>
      <c r="C13" s="27" t="s">
        <v>44</v>
      </c>
      <c r="D13" s="27" t="s">
        <v>48</v>
      </c>
      <c r="E13" s="28">
        <v>10</v>
      </c>
      <c r="F13" s="29">
        <v>385</v>
      </c>
      <c r="G13" s="29">
        <f t="shared" ref="G13:G17" si="0">F13*E13</f>
        <v>3850</v>
      </c>
      <c r="H13" s="30" t="s">
        <v>46</v>
      </c>
      <c r="I13" s="30" t="s">
        <v>49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ht="16.8" x14ac:dyDescent="0.4">
      <c r="A14" s="16"/>
      <c r="B14" s="26">
        <v>45000</v>
      </c>
      <c r="C14" s="27" t="s">
        <v>50</v>
      </c>
      <c r="D14" s="27" t="s">
        <v>51</v>
      </c>
      <c r="E14" s="28">
        <v>3</v>
      </c>
      <c r="F14" s="29">
        <v>771</v>
      </c>
      <c r="G14" s="29">
        <f t="shared" si="0"/>
        <v>2313</v>
      </c>
      <c r="H14" s="30" t="s">
        <v>46</v>
      </c>
      <c r="I14" s="30" t="s">
        <v>47</v>
      </c>
      <c r="J14" s="22"/>
      <c r="K14" s="22"/>
      <c r="L14" s="22"/>
      <c r="M14" s="22"/>
      <c r="N14" s="22"/>
      <c r="O14" s="22"/>
      <c r="P14" s="16"/>
      <c r="Q14" s="16"/>
      <c r="R14" s="16"/>
      <c r="S14" s="16"/>
    </row>
    <row r="15" spans="1:19" ht="16.8" x14ac:dyDescent="0.4">
      <c r="A15" s="16"/>
      <c r="B15" s="26">
        <v>45034</v>
      </c>
      <c r="C15" s="27" t="s">
        <v>52</v>
      </c>
      <c r="D15" s="27" t="s">
        <v>53</v>
      </c>
      <c r="E15" s="28">
        <v>12</v>
      </c>
      <c r="F15" s="29">
        <v>313</v>
      </c>
      <c r="G15" s="29">
        <f t="shared" si="0"/>
        <v>3756</v>
      </c>
      <c r="H15" s="30" t="s">
        <v>54</v>
      </c>
      <c r="I15" s="30" t="s">
        <v>47</v>
      </c>
      <c r="J15" s="22"/>
      <c r="K15" s="22"/>
      <c r="L15" s="22"/>
      <c r="M15" s="22"/>
      <c r="N15" s="22"/>
      <c r="O15" s="22"/>
      <c r="P15" s="16"/>
      <c r="Q15" s="16"/>
      <c r="R15" s="16"/>
      <c r="S15" s="16"/>
    </row>
    <row r="16" spans="1:19" ht="16.8" x14ac:dyDescent="0.4">
      <c r="A16" s="16"/>
      <c r="B16" s="26">
        <v>45051</v>
      </c>
      <c r="C16" s="27" t="s">
        <v>44</v>
      </c>
      <c r="D16" s="27" t="s">
        <v>45</v>
      </c>
      <c r="E16" s="28">
        <v>10</v>
      </c>
      <c r="F16" s="29">
        <v>574</v>
      </c>
      <c r="G16" s="29">
        <f t="shared" si="0"/>
        <v>5740</v>
      </c>
      <c r="H16" s="30" t="s">
        <v>55</v>
      </c>
      <c r="I16" s="30" t="s">
        <v>49</v>
      </c>
      <c r="J16" s="31"/>
      <c r="K16" s="22"/>
      <c r="L16" s="22"/>
      <c r="M16" s="22"/>
      <c r="N16" s="22"/>
      <c r="O16" s="22"/>
      <c r="P16" s="16"/>
      <c r="Q16" s="16"/>
      <c r="R16" s="16"/>
      <c r="S16" s="16"/>
    </row>
    <row r="17" spans="1:19" ht="16.8" x14ac:dyDescent="0.4">
      <c r="A17" s="16"/>
      <c r="B17" s="26">
        <v>45068</v>
      </c>
      <c r="C17" s="27" t="s">
        <v>44</v>
      </c>
      <c r="D17" s="27" t="s">
        <v>48</v>
      </c>
      <c r="E17" s="28">
        <v>8</v>
      </c>
      <c r="F17" s="29">
        <v>730</v>
      </c>
      <c r="G17" s="29">
        <f t="shared" si="0"/>
        <v>5840</v>
      </c>
      <c r="H17" s="30" t="s">
        <v>55</v>
      </c>
      <c r="I17" s="30" t="s">
        <v>49</v>
      </c>
      <c r="J17" s="31" t="s">
        <v>52</v>
      </c>
      <c r="K17" s="22"/>
      <c r="L17" s="22"/>
      <c r="M17" s="22"/>
      <c r="N17" s="22"/>
      <c r="O17" s="22"/>
      <c r="P17" s="16"/>
      <c r="Q17" s="16"/>
      <c r="R17" s="16"/>
      <c r="S17" s="16"/>
    </row>
    <row r="18" spans="1:19" ht="16.8" x14ac:dyDescent="0.4">
      <c r="A18" s="16"/>
      <c r="B18" s="32"/>
      <c r="C18" s="28"/>
      <c r="D18" s="33" t="s">
        <v>56</v>
      </c>
      <c r="E18" s="34">
        <f>SUM(E12:E17)</f>
        <v>77</v>
      </c>
      <c r="F18" s="35"/>
      <c r="G18" s="35">
        <f>SUM(G12:G17)</f>
        <v>34725</v>
      </c>
      <c r="H18" s="36"/>
      <c r="I18" s="31"/>
      <c r="J18" s="31"/>
      <c r="K18" s="22"/>
      <c r="L18" s="22"/>
      <c r="M18" s="22"/>
      <c r="N18" s="22"/>
      <c r="O18" s="22"/>
      <c r="P18" s="16"/>
      <c r="Q18" s="16"/>
      <c r="R18" s="16"/>
      <c r="S18" s="16"/>
    </row>
    <row r="19" spans="1:19" ht="16.8" x14ac:dyDescent="0.4">
      <c r="A19" s="16"/>
      <c r="B19" s="32"/>
      <c r="C19" s="28"/>
      <c r="D19" s="28"/>
      <c r="E19" s="28"/>
      <c r="F19" s="31"/>
      <c r="G19" s="31"/>
      <c r="H19" s="36"/>
      <c r="I19" s="31"/>
      <c r="J19" s="31"/>
      <c r="K19" s="22"/>
      <c r="L19" s="22" t="s">
        <v>52</v>
      </c>
      <c r="M19" s="22"/>
      <c r="N19" s="22"/>
      <c r="O19" s="22"/>
      <c r="P19" s="16"/>
      <c r="Q19" s="16"/>
      <c r="R19" s="16"/>
      <c r="S19" s="16"/>
    </row>
    <row r="20" spans="1:19" ht="16.8" x14ac:dyDescent="0.4">
      <c r="A20" s="16"/>
      <c r="B20" s="32"/>
      <c r="C20" s="28"/>
      <c r="D20" s="28"/>
      <c r="E20" s="31"/>
      <c r="F20" s="31"/>
      <c r="G20" s="31"/>
      <c r="H20" s="31"/>
      <c r="I20" s="31"/>
      <c r="J20" s="31"/>
      <c r="K20" s="22"/>
      <c r="L20" s="22"/>
      <c r="M20" s="22"/>
      <c r="N20" s="22"/>
      <c r="O20" s="22"/>
      <c r="P20" s="16"/>
      <c r="Q20" s="16"/>
      <c r="R20" s="16"/>
      <c r="S20" s="16"/>
    </row>
    <row r="21" spans="1:19" ht="16.8" x14ac:dyDescent="0.4">
      <c r="A21" s="16"/>
      <c r="B21" s="37" t="s">
        <v>57</v>
      </c>
      <c r="C21" s="37"/>
      <c r="D21" s="38" t="s">
        <v>58</v>
      </c>
      <c r="E21" s="39" t="s">
        <v>44</v>
      </c>
      <c r="F21" s="24" t="s">
        <v>59</v>
      </c>
      <c r="G21" s="25" t="s">
        <v>41</v>
      </c>
      <c r="H21" s="25" t="s">
        <v>42</v>
      </c>
      <c r="I21" s="25" t="s">
        <v>55</v>
      </c>
      <c r="J21" s="25" t="s">
        <v>43</v>
      </c>
      <c r="K21" s="40" t="s">
        <v>49</v>
      </c>
      <c r="L21" s="41"/>
      <c r="M21" s="41"/>
      <c r="N21" s="40"/>
      <c r="O21" s="41"/>
      <c r="P21" s="42"/>
      <c r="Q21" s="42"/>
      <c r="R21" s="16"/>
      <c r="S21" s="16"/>
    </row>
    <row r="22" spans="1:19" ht="16.8" x14ac:dyDescent="0.4">
      <c r="A22" s="16"/>
      <c r="B22" s="32"/>
      <c r="C22" s="28"/>
      <c r="D22" s="28"/>
      <c r="E22" s="28"/>
      <c r="F22" s="43" t="s">
        <v>45</v>
      </c>
      <c r="G22" s="44"/>
      <c r="H22" s="31"/>
      <c r="I22" s="31"/>
      <c r="J22" s="31"/>
      <c r="K22" s="22"/>
      <c r="L22" s="22"/>
      <c r="M22" s="22"/>
      <c r="N22" s="22"/>
      <c r="O22" s="22"/>
      <c r="P22" s="16"/>
      <c r="Q22" s="16"/>
      <c r="R22" s="16"/>
      <c r="S22" s="16"/>
    </row>
    <row r="23" spans="1:19" ht="16.8" x14ac:dyDescent="0.4">
      <c r="A23" s="16"/>
      <c r="B23" s="32"/>
      <c r="C23" s="28"/>
      <c r="D23" s="28"/>
      <c r="E23" s="28"/>
      <c r="F23" s="43" t="s">
        <v>48</v>
      </c>
      <c r="G23" s="44"/>
      <c r="H23" s="31"/>
      <c r="I23" s="31"/>
      <c r="J23" s="31"/>
      <c r="K23" s="22"/>
      <c r="L23" s="22"/>
      <c r="M23" s="22" t="s">
        <v>52</v>
      </c>
      <c r="N23" s="22"/>
      <c r="O23" s="22"/>
      <c r="P23" s="16"/>
      <c r="Q23" s="16"/>
      <c r="R23" s="16"/>
      <c r="S23" s="16"/>
    </row>
    <row r="24" spans="1:19" ht="16.8" x14ac:dyDescent="0.4">
      <c r="A24" s="16"/>
      <c r="B24" s="32"/>
      <c r="C24" s="28"/>
      <c r="D24" s="28"/>
      <c r="E24" s="28"/>
      <c r="F24" s="43" t="s">
        <v>53</v>
      </c>
      <c r="G24" s="44"/>
      <c r="H24" s="31"/>
      <c r="I24" s="31"/>
      <c r="J24" s="31"/>
      <c r="K24" s="22"/>
      <c r="L24" s="22"/>
      <c r="M24" s="22"/>
      <c r="N24" s="22"/>
      <c r="O24" s="22"/>
      <c r="P24" s="16"/>
      <c r="Q24" s="16"/>
      <c r="R24" s="16"/>
      <c r="S24" s="16"/>
    </row>
    <row r="25" spans="1:19" ht="16.8" x14ac:dyDescent="0.4">
      <c r="A25" s="16"/>
      <c r="B25" s="32"/>
      <c r="C25" s="28"/>
      <c r="D25" s="28"/>
      <c r="E25" s="28"/>
      <c r="F25" s="43" t="s">
        <v>51</v>
      </c>
      <c r="G25" s="44"/>
      <c r="H25" s="31"/>
      <c r="I25" s="31"/>
      <c r="J25" s="31"/>
      <c r="K25" s="22"/>
      <c r="L25" s="22"/>
      <c r="M25" s="22"/>
      <c r="N25" s="22"/>
      <c r="O25" s="22"/>
      <c r="P25" s="16"/>
      <c r="Q25" s="16"/>
      <c r="R25" s="16"/>
      <c r="S25" s="16"/>
    </row>
    <row r="26" spans="1:19" ht="16.8" x14ac:dyDescent="0.4">
      <c r="A26" s="16"/>
      <c r="B26" s="32"/>
      <c r="C26" s="28"/>
      <c r="D26" s="28"/>
      <c r="E26" s="28"/>
      <c r="F26" s="43" t="s">
        <v>60</v>
      </c>
      <c r="G26" s="44"/>
      <c r="H26" s="31"/>
      <c r="I26" s="31"/>
      <c r="J26" s="31"/>
      <c r="K26" s="22"/>
      <c r="L26" s="22"/>
      <c r="M26" s="22"/>
      <c r="N26" s="22"/>
      <c r="O26" s="22"/>
      <c r="P26" s="16"/>
      <c r="Q26" s="16"/>
      <c r="R26" s="16"/>
      <c r="S26" s="16"/>
    </row>
    <row r="27" spans="1:19" ht="16.8" x14ac:dyDescent="0.4">
      <c r="A27" s="16"/>
      <c r="B27" s="32"/>
      <c r="C27" s="28"/>
      <c r="D27" s="28"/>
      <c r="E27" s="28"/>
      <c r="F27" s="45" t="s">
        <v>61</v>
      </c>
      <c r="G27" s="46">
        <f>SUM(G22:G26)</f>
        <v>0</v>
      </c>
      <c r="H27" s="31"/>
      <c r="I27" s="31"/>
      <c r="J27" s="31"/>
      <c r="K27" s="22"/>
      <c r="L27" s="22"/>
      <c r="M27" s="22"/>
      <c r="N27" s="22"/>
      <c r="O27" s="22"/>
      <c r="P27" s="16"/>
      <c r="Q27" s="16"/>
      <c r="R27" s="16"/>
      <c r="S27" s="16"/>
    </row>
  </sheetData>
  <conditionalFormatting sqref="C12:C17">
    <cfRule type="containsText" dxfId="5" priority="5" operator="containsText" text="North">
      <formula>NOT(ISERROR(SEARCH("North",C12)))</formula>
    </cfRule>
    <cfRule type="containsText" dxfId="4" priority="6" operator="containsText" text="Central">
      <formula>NOT(ISERROR(SEARCH("Central",C12)))</formula>
    </cfRule>
  </conditionalFormatting>
  <conditionalFormatting sqref="F12:F17">
    <cfRule type="top10" dxfId="3" priority="1" bottom="1" rank="2"/>
    <cfRule type="top10" dxfId="2" priority="2" rank="2"/>
  </conditionalFormatting>
  <conditionalFormatting sqref="G12:G17">
    <cfRule type="cellIs" dxfId="1" priority="3" operator="greaterThan">
      <formula>4703</formula>
    </cfRule>
    <cfRule type="cellIs" dxfId="0" priority="4" operator="lessThan">
      <formula>4703</formula>
    </cfRule>
  </conditionalFormatting>
  <dataValidations count="5">
    <dataValidation type="list" allowBlank="1" showInputMessage="1" showErrorMessage="1" sqref="J17 K16 B20 O21 L19:M19 M23" xr:uid="{8B7D3B07-FF59-47EA-8A90-CFBB629E683B}">
      <formula1>$C$10:$C$15</formula1>
    </dataValidation>
    <dataValidation type="list" allowBlank="1" showInputMessage="1" showErrorMessage="1" sqref="M21" xr:uid="{400CE223-71BE-4272-8992-00A46CD06EF9}">
      <formula1>$H$10:$H$15</formula1>
    </dataValidation>
    <dataValidation type="list" allowBlank="1" showInputMessage="1" showErrorMessage="1" sqref="E21" xr:uid="{17ECA184-09B0-4480-BCBE-A4367E593BA9}">
      <formula1>$C$12:$C$17</formula1>
    </dataValidation>
    <dataValidation type="list" allowBlank="1" showInputMessage="1" showErrorMessage="1" sqref="I21" xr:uid="{D1FB3D05-9622-48DC-AD98-EB7DE98FD680}">
      <formula1>$H$12:$H$17</formula1>
    </dataValidation>
    <dataValidation type="list" allowBlank="1" showInputMessage="1" showErrorMessage="1" sqref="K21" xr:uid="{064D924C-1845-4967-9DBB-652F99F94CD6}">
      <formula1>$I$12:$I$17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Sandipan Gupta</dc:creator>
  <cp:lastModifiedBy>Aptech Dxb</cp:lastModifiedBy>
  <dcterms:created xsi:type="dcterms:W3CDTF">2026-09-29T07:04:53Z</dcterms:created>
  <dcterms:modified xsi:type="dcterms:W3CDTF">2026-09-29T08:30:13Z</dcterms:modified>
</cp:coreProperties>
</file>